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kubjaniak/Documents/calcs for LP/"/>
    </mc:Choice>
  </mc:AlternateContent>
  <xr:revisionPtr revIDLastSave="0" documentId="8_{09BB9888-7F85-AA4E-A405-E9493A0FE81A}" xr6:coauthVersionLast="47" xr6:coauthVersionMax="47" xr10:uidLastSave="{00000000-0000-0000-0000-000000000000}"/>
  <bookViews>
    <workbookView xWindow="43660" yWindow="-20980" windowWidth="25600" windowHeight="20980" activeTab="1" xr2:uid="{521AD88C-EB25-E34A-9A24-A7E11A79285F}"/>
  </bookViews>
  <sheets>
    <sheet name="Draft 1" sheetId="1" r:id="rId1"/>
    <sheet name="Proposed Merger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3" l="1"/>
  <c r="C14" i="3"/>
  <c r="C8" i="3"/>
  <c r="C23" i="3" s="1"/>
  <c r="C4" i="3"/>
  <c r="C21" i="3" s="1"/>
  <c r="C24" i="1"/>
  <c r="C12" i="1"/>
  <c r="C23" i="1"/>
  <c r="C21" i="1"/>
  <c r="C10" i="1"/>
  <c r="K15" i="1"/>
  <c r="C25" i="3" l="1"/>
  <c r="C26" i="3" s="1"/>
  <c r="C10" i="3"/>
  <c r="C26" i="1"/>
  <c r="K16" i="1" s="1"/>
  <c r="L15" i="3" l="1"/>
  <c r="L16" i="3"/>
  <c r="L17" i="3"/>
  <c r="J15" i="3"/>
  <c r="K15" i="3"/>
  <c r="J16" i="3"/>
  <c r="I15" i="1"/>
  <c r="I16" i="3"/>
  <c r="J15" i="1"/>
  <c r="I17" i="3"/>
  <c r="I15" i="3"/>
  <c r="J17" i="3"/>
  <c r="K16" i="3"/>
  <c r="I16" i="1"/>
  <c r="J16" i="1"/>
  <c r="K17" i="3"/>
</calcChain>
</file>

<file path=xl/sharedStrings.xml><?xml version="1.0" encoding="utf-8"?>
<sst xmlns="http://schemas.openxmlformats.org/spreadsheetml/2006/main" count="48" uniqueCount="29">
  <si>
    <t>Impact to ZC</t>
  </si>
  <si>
    <t>Impact to PERC</t>
  </si>
  <si>
    <t>Perc Tokenomics</t>
  </si>
  <si>
    <t>Early Backers</t>
  </si>
  <si>
    <t>AMM</t>
  </si>
  <si>
    <t>Total</t>
  </si>
  <si>
    <t>ZC in Perc Pool</t>
  </si>
  <si>
    <t>Perc Price in ZC</t>
  </si>
  <si>
    <t>Holder Perc / Available ZC</t>
  </si>
  <si>
    <t>ZC Sale Price Impact</t>
  </si>
  <si>
    <t>ZC Sale Average Price</t>
  </si>
  <si>
    <t>ZC Tokenomics</t>
  </si>
  <si>
    <t>Mechanics</t>
  </si>
  <si>
    <t>PERC Supply Post Burn</t>
  </si>
  <si>
    <t>ZC Distribution</t>
  </si>
  <si>
    <t>Additional ZC Mint</t>
  </si>
  <si>
    <t>ZC Received per PERC</t>
  </si>
  <si>
    <t>Cases</t>
  </si>
  <si>
    <t>Option 1: 0 Perc Loss</t>
  </si>
  <si>
    <t>Case</t>
  </si>
  <si>
    <t>Option 2: 0 ZC Loss</t>
  </si>
  <si>
    <t>Option 3: Neutral Loss</t>
  </si>
  <si>
    <t>Current Per Price</t>
  </si>
  <si>
    <t>Loss from Ann</t>
  </si>
  <si>
    <t>Impact to PERC (Pre-ANN)</t>
  </si>
  <si>
    <t>Target Perc Price in ZC</t>
  </si>
  <si>
    <t>Premia</t>
  </si>
  <si>
    <t>Option 3: Shared Loss</t>
  </si>
  <si>
    <t>Option 4: Negotiated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</si>
</sst>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.000_);_(* \(#,##0.000\);_(* &quot;-&quot;??_);_(@_)"/>
    <numFmt numFmtId="167" formatCode="_(* #,##0_);_(* \(#,##0\);_(* &quot;-&quot;??_);_(@_)"/>
    <numFmt numFmtId="172" formatCode="_(* #,##0.0000_);_(* \(#,##0.0000\);_(* &quot;-&quot;??_);_(@_)"/>
    <numFmt numFmtId="174" formatCode="0.000%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9" fontId="0" fillId="0" borderId="0" xfId="3" applyFont="1"/>
    <xf numFmtId="0" fontId="2" fillId="0" borderId="0" xfId="0" applyFont="1"/>
    <xf numFmtId="167" fontId="0" fillId="0" borderId="0" xfId="1" applyNumberFormat="1" applyFont="1"/>
    <xf numFmtId="167" fontId="0" fillId="0" borderId="0" xfId="0" applyNumberFormat="1"/>
    <xf numFmtId="0" fontId="0" fillId="0" borderId="0" xfId="3" applyNumberFormat="1" applyFont="1"/>
    <xf numFmtId="167" fontId="0" fillId="2" borderId="0" xfId="1" applyNumberFormat="1" applyFont="1" applyFill="1"/>
    <xf numFmtId="0" fontId="0" fillId="2" borderId="0" xfId="2" applyNumberFormat="1" applyFont="1" applyFill="1"/>
    <xf numFmtId="10" fontId="0" fillId="2" borderId="0" xfId="0" applyNumberFormat="1" applyFill="1"/>
    <xf numFmtId="165" fontId="0" fillId="0" borderId="0" xfId="0" applyNumberFormat="1"/>
    <xf numFmtId="172" fontId="0" fillId="0" borderId="0" xfId="0" applyNumberFormat="1"/>
    <xf numFmtId="174" fontId="0" fillId="0" borderId="0" xfId="3" applyNumberFormat="1" applyFont="1"/>
    <xf numFmtId="174" fontId="0" fillId="0" borderId="0" xfId="0" applyNumberFormat="1"/>
    <xf numFmtId="0" fontId="0" fillId="2" borderId="0" xfId="0" applyFill="1"/>
    <xf numFmtId="0" fontId="2" fillId="3" borderId="0" xfId="0" applyFont="1" applyFill="1"/>
    <xf numFmtId="164" fontId="2" fillId="3" borderId="0" xfId="3" applyNumberFormat="1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CE929-44DF-F147-9064-5A6D1D7C3678}">
  <dimension ref="B2:K31"/>
  <sheetViews>
    <sheetView zoomScale="112" workbookViewId="0">
      <selection activeCell="C4" sqref="C4"/>
    </sheetView>
  </sheetViews>
  <sheetFormatPr baseColWidth="10" defaultRowHeight="16" x14ac:dyDescent="0.2"/>
  <cols>
    <col min="2" max="2" width="27.33203125" bestFit="1" customWidth="1"/>
    <col min="3" max="3" width="14.6640625" customWidth="1"/>
    <col min="5" max="5" width="13.6640625" bestFit="1" customWidth="1"/>
    <col min="8" max="8" width="13.6640625" bestFit="1" customWidth="1"/>
  </cols>
  <sheetData>
    <row r="2" spans="2:11" x14ac:dyDescent="0.2">
      <c r="B2" s="2" t="s">
        <v>2</v>
      </c>
    </row>
    <row r="3" spans="2:11" x14ac:dyDescent="0.2">
      <c r="B3" t="s">
        <v>3</v>
      </c>
      <c r="C3" s="6">
        <v>172000000</v>
      </c>
    </row>
    <row r="4" spans="2:11" x14ac:dyDescent="0.2">
      <c r="B4" t="s">
        <v>4</v>
      </c>
      <c r="C4" s="6">
        <v>270511660</v>
      </c>
    </row>
    <row r="5" spans="2:11" x14ac:dyDescent="0.2">
      <c r="B5" t="s">
        <v>5</v>
      </c>
      <c r="C5" s="6">
        <v>1016000000</v>
      </c>
    </row>
    <row r="7" spans="2:11" x14ac:dyDescent="0.2">
      <c r="B7" t="s">
        <v>7</v>
      </c>
      <c r="C7" s="7">
        <v>0.18402499999999999</v>
      </c>
    </row>
    <row r="8" spans="2:11" x14ac:dyDescent="0.2">
      <c r="B8" t="s">
        <v>6</v>
      </c>
      <c r="C8" s="6">
        <v>53579744</v>
      </c>
    </row>
    <row r="10" spans="2:11" x14ac:dyDescent="0.2">
      <c r="B10" t="s">
        <v>8</v>
      </c>
      <c r="C10" s="5">
        <f>C8/(C5-C4-C3)</f>
        <v>9.3427782681684515E-2</v>
      </c>
    </row>
    <row r="11" spans="2:11" x14ac:dyDescent="0.2">
      <c r="B11" t="s">
        <v>9</v>
      </c>
      <c r="C11" s="8">
        <v>0.36</v>
      </c>
    </row>
    <row r="12" spans="2:11" x14ac:dyDescent="0.2">
      <c r="B12" t="s">
        <v>10</v>
      </c>
      <c r="C12">
        <f>C7*0.65</f>
        <v>0.11961624999999999</v>
      </c>
    </row>
    <row r="14" spans="2:11" x14ac:dyDescent="0.2">
      <c r="H14" s="2" t="s">
        <v>19</v>
      </c>
      <c r="I14">
        <v>1</v>
      </c>
      <c r="J14">
        <v>2</v>
      </c>
      <c r="K14">
        <v>3</v>
      </c>
    </row>
    <row r="15" spans="2:11" x14ac:dyDescent="0.2">
      <c r="H15" s="2" t="s">
        <v>0</v>
      </c>
      <c r="I15" s="11">
        <f ca="1">IF($C$28=I14,-$C29/$C$17,I15)</f>
        <v>-4.2830873339457259E-2</v>
      </c>
      <c r="J15" s="11">
        <f ca="1">IF($C$28=J14,-$C30/$C$17,J15)</f>
        <v>0</v>
      </c>
      <c r="K15" s="11">
        <f>IF($C$28=K14,-$C31/$C$17,K15)</f>
        <v>-3.932087438321543E-2</v>
      </c>
    </row>
    <row r="16" spans="2:11" x14ac:dyDescent="0.2">
      <c r="B16" s="2" t="s">
        <v>11</v>
      </c>
      <c r="H16" s="2" t="s">
        <v>1</v>
      </c>
      <c r="I16" s="12">
        <f ca="1">IF(C28=I14,(C26/C7)-1,I16)</f>
        <v>1.3677479645046731E-4</v>
      </c>
      <c r="J16" s="12">
        <f ca="1">IF(C28=J14,(C26/C7)-1,J16)</f>
        <v>-0.47349963506904214</v>
      </c>
      <c r="K16" s="12">
        <f>IF(C28=K14,(C26/C7)-1,K16)</f>
        <v>-7.3021848139115719E-2</v>
      </c>
    </row>
    <row r="17" spans="2:4" x14ac:dyDescent="0.2">
      <c r="B17" t="s">
        <v>5</v>
      </c>
      <c r="C17" s="3">
        <v>1125356460</v>
      </c>
    </row>
    <row r="18" spans="2:4" x14ac:dyDescent="0.2">
      <c r="B18" s="4"/>
    </row>
    <row r="20" spans="2:4" x14ac:dyDescent="0.2">
      <c r="B20" s="2" t="s">
        <v>12</v>
      </c>
    </row>
    <row r="21" spans="2:4" x14ac:dyDescent="0.2">
      <c r="B21" t="s">
        <v>13</v>
      </c>
      <c r="C21" s="4">
        <f>C5-C4-C3</f>
        <v>573488340</v>
      </c>
    </row>
    <row r="23" spans="2:4" x14ac:dyDescent="0.2">
      <c r="B23" t="s">
        <v>14</v>
      </c>
      <c r="C23" s="4">
        <f>C8</f>
        <v>53579744</v>
      </c>
    </row>
    <row r="24" spans="2:4" x14ac:dyDescent="0.2">
      <c r="B24" t="s">
        <v>15</v>
      </c>
      <c r="C24" s="3">
        <f>CHOOSE(C28,C29,C30,C31)</f>
        <v>44250000</v>
      </c>
    </row>
    <row r="26" spans="2:4" x14ac:dyDescent="0.2">
      <c r="B26" t="s">
        <v>16</v>
      </c>
      <c r="C26" s="9">
        <f>(C23+C24)/C21</f>
        <v>0.17058715439619923</v>
      </c>
      <c r="D26" s="10"/>
    </row>
    <row r="28" spans="2:4" x14ac:dyDescent="0.2">
      <c r="B28" s="2" t="s">
        <v>17</v>
      </c>
      <c r="C28">
        <v>3</v>
      </c>
    </row>
    <row r="29" spans="2:4" x14ac:dyDescent="0.2">
      <c r="B29" t="s">
        <v>18</v>
      </c>
      <c r="C29" s="3">
        <v>48200000</v>
      </c>
    </row>
    <row r="30" spans="2:4" x14ac:dyDescent="0.2">
      <c r="B30" t="s">
        <v>20</v>
      </c>
      <c r="C30">
        <v>0</v>
      </c>
    </row>
    <row r="31" spans="2:4" x14ac:dyDescent="0.2">
      <c r="B31" t="s">
        <v>21</v>
      </c>
      <c r="C31" s="3">
        <v>44250000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04BFE-DBF3-9644-B3F8-D2D61B30796B}">
  <dimension ref="B2:L38"/>
  <sheetViews>
    <sheetView tabSelected="1" zoomScale="107" workbookViewId="0">
      <selection activeCell="E10" sqref="E10"/>
    </sheetView>
  </sheetViews>
  <sheetFormatPr baseColWidth="10" defaultRowHeight="16" x14ac:dyDescent="0.2"/>
  <cols>
    <col min="2" max="2" width="27.33203125" bestFit="1" customWidth="1"/>
    <col min="3" max="3" width="14.6640625" customWidth="1"/>
    <col min="5" max="5" width="13.6640625" bestFit="1" customWidth="1"/>
    <col min="8" max="8" width="23.33203125" bestFit="1" customWidth="1"/>
  </cols>
  <sheetData>
    <row r="2" spans="2:12" x14ac:dyDescent="0.2">
      <c r="B2" s="2" t="s">
        <v>2</v>
      </c>
    </row>
    <row r="4" spans="2:12" x14ac:dyDescent="0.2">
      <c r="B4" t="s">
        <v>4</v>
      </c>
      <c r="C4" s="6">
        <f>270511660</f>
        <v>270511660</v>
      </c>
    </row>
    <row r="5" spans="2:12" x14ac:dyDescent="0.2">
      <c r="B5" t="s">
        <v>5</v>
      </c>
      <c r="C5" s="6">
        <v>1016000000</v>
      </c>
    </row>
    <row r="7" spans="2:12" x14ac:dyDescent="0.2">
      <c r="B7" t="s">
        <v>25</v>
      </c>
      <c r="C7" s="7">
        <v>0.24049999999999999</v>
      </c>
    </row>
    <row r="8" spans="2:12" x14ac:dyDescent="0.2">
      <c r="B8" t="s">
        <v>6</v>
      </c>
      <c r="C8" s="6">
        <f>57688493</f>
        <v>57688493</v>
      </c>
    </row>
    <row r="10" spans="2:12" x14ac:dyDescent="0.2">
      <c r="B10" t="s">
        <v>8</v>
      </c>
      <c r="C10" s="5">
        <f>C8/(C5-C4-C3)</f>
        <v>7.7383494690205348E-2</v>
      </c>
    </row>
    <row r="13" spans="2:12" x14ac:dyDescent="0.2">
      <c r="B13" t="s">
        <v>22</v>
      </c>
      <c r="C13">
        <v>0.21318300000000001</v>
      </c>
    </row>
    <row r="14" spans="2:12" x14ac:dyDescent="0.2">
      <c r="B14" t="s">
        <v>23</v>
      </c>
      <c r="C14">
        <f>C7/C13-1</f>
        <v>0.12813873526500696</v>
      </c>
      <c r="H14" s="2" t="s">
        <v>19</v>
      </c>
      <c r="I14" s="2">
        <v>1</v>
      </c>
      <c r="J14" s="2">
        <v>2</v>
      </c>
      <c r="K14" s="2">
        <v>3</v>
      </c>
      <c r="L14" s="2">
        <v>4</v>
      </c>
    </row>
    <row r="15" spans="2:12" x14ac:dyDescent="0.2">
      <c r="H15" s="2" t="s">
        <v>0</v>
      </c>
      <c r="I15" s="11">
        <f ca="1">IF($C$28=I14,-$C29/$C$17,I15)</f>
        <v>-0.10841009434468435</v>
      </c>
      <c r="J15" s="11">
        <f ca="1">IF($C$28=J14,-$C30/$C$17,J15)</f>
        <v>0</v>
      </c>
      <c r="K15" s="11">
        <f ca="1">IF($C$28=K14,-$C31/$C$17,K15)</f>
        <v>-9.3303769722884067E-2</v>
      </c>
      <c r="L15" s="11">
        <f>IF($C$28=L14,-$C32/$C$17,L15)</f>
        <v>-0.10841009434468435</v>
      </c>
    </row>
    <row r="16" spans="2:12" x14ac:dyDescent="0.2">
      <c r="B16" s="2" t="s">
        <v>11</v>
      </c>
      <c r="H16" s="2" t="s">
        <v>1</v>
      </c>
      <c r="I16" s="12">
        <f ca="1">IF(C28=I14,(C25/C13)-1,I16)</f>
        <v>0.13064649757183688</v>
      </c>
      <c r="J16" s="12">
        <f ca="1">IF(C28=J14,(C25/C13)-1,J16)</f>
        <v>-0.4923092912284498</v>
      </c>
      <c r="K16" s="12">
        <f ca="1">IF(C28=K14,(C25/C13)-1,K16)</f>
        <v>2.3678098328145492E-2</v>
      </c>
      <c r="L16" s="12">
        <f>IF(C28=L14,(C25/C13)-1,L16)</f>
        <v>0.13064649757183688</v>
      </c>
    </row>
    <row r="17" spans="2:12" x14ac:dyDescent="0.2">
      <c r="B17" t="s">
        <v>5</v>
      </c>
      <c r="C17" s="3">
        <v>1125356460</v>
      </c>
      <c r="H17" s="2" t="s">
        <v>24</v>
      </c>
      <c r="I17" s="12">
        <f ca="1">IF(C28=I14,(C25/C7)-1,I17)</f>
        <v>2.2229201324612813E-3</v>
      </c>
      <c r="J17" s="12">
        <f ca="1">IF(C28=J14,(C25/C7)-1,J17)</f>
        <v>-0.61152689113644687</v>
      </c>
      <c r="K17" s="12">
        <f ca="1">IF(C28=K14,(C25/C7)-1,K17)</f>
        <v>-9.2595559102332303E-2</v>
      </c>
      <c r="L17" s="12">
        <f>IF(C28=L14,(C25/C7)-1,L17)</f>
        <v>2.2229201324612813E-3</v>
      </c>
    </row>
    <row r="18" spans="2:12" x14ac:dyDescent="0.2">
      <c r="B18" s="4"/>
    </row>
    <row r="20" spans="2:12" x14ac:dyDescent="0.2">
      <c r="B20" s="2" t="s">
        <v>12</v>
      </c>
    </row>
    <row r="21" spans="2:12" x14ac:dyDescent="0.2">
      <c r="B21" t="s">
        <v>13</v>
      </c>
      <c r="C21" s="4">
        <f>C5-C4-C3</f>
        <v>745488340</v>
      </c>
    </row>
    <row r="23" spans="2:12" x14ac:dyDescent="0.2">
      <c r="B23" t="s">
        <v>14</v>
      </c>
      <c r="C23" s="4">
        <f>C8</f>
        <v>57688493</v>
      </c>
    </row>
    <row r="24" spans="2:12" x14ac:dyDescent="0.2">
      <c r="B24" t="s">
        <v>15</v>
      </c>
      <c r="C24" s="3">
        <f>CHOOSE(C28,C29,C30,C31,C32)</f>
        <v>122000000</v>
      </c>
    </row>
    <row r="25" spans="2:12" x14ac:dyDescent="0.2">
      <c r="B25" t="s">
        <v>16</v>
      </c>
      <c r="C25" s="9">
        <f>(C23+C24)/C21</f>
        <v>0.24103461229185691</v>
      </c>
    </row>
    <row r="26" spans="2:12" x14ac:dyDescent="0.2">
      <c r="B26" s="14" t="s">
        <v>26</v>
      </c>
      <c r="C26" s="15">
        <f>C25/C13-1</f>
        <v>0.13064649757183688</v>
      </c>
      <c r="D26" s="10"/>
    </row>
    <row r="28" spans="2:12" x14ac:dyDescent="0.2">
      <c r="B28" s="2" t="s">
        <v>17</v>
      </c>
      <c r="C28" s="13">
        <v>4</v>
      </c>
    </row>
    <row r="29" spans="2:12" x14ac:dyDescent="0.2">
      <c r="B29" t="s">
        <v>18</v>
      </c>
      <c r="C29" s="3">
        <v>122000000</v>
      </c>
    </row>
    <row r="30" spans="2:12" x14ac:dyDescent="0.2">
      <c r="B30" t="s">
        <v>20</v>
      </c>
      <c r="C30">
        <v>0</v>
      </c>
    </row>
    <row r="31" spans="2:12" x14ac:dyDescent="0.2">
      <c r="B31" t="s">
        <v>27</v>
      </c>
      <c r="C31" s="3">
        <v>105000000</v>
      </c>
    </row>
    <row r="32" spans="2:12" x14ac:dyDescent="0.2">
      <c r="B32" t="s">
        <v>28</v>
      </c>
      <c r="C32" s="3">
        <v>122000000</v>
      </c>
    </row>
    <row r="33" spans="2:7" x14ac:dyDescent="0.2">
      <c r="B33" s="2"/>
      <c r="C33" s="3"/>
    </row>
    <row r="35" spans="2:7" x14ac:dyDescent="0.2">
      <c r="C35" s="1"/>
    </row>
    <row r="36" spans="2:7" x14ac:dyDescent="0.2">
      <c r="C36" s="3"/>
      <c r="F36" s="2"/>
      <c r="G36" s="2"/>
    </row>
    <row r="37" spans="2:7" x14ac:dyDescent="0.2">
      <c r="F37" s="2"/>
      <c r="G37" s="2"/>
    </row>
    <row r="38" spans="2:7" x14ac:dyDescent="0.2">
      <c r="F38" s="2"/>
      <c r="G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Draft 1</vt:lpstr>
      <vt:lpstr>Proposed Merger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Janiak</dc:creator>
  <cp:lastModifiedBy>Jakub Janiak</cp:lastModifiedBy>
  <dcterms:created xsi:type="dcterms:W3CDTF">2025-11-07T02:29:17Z</dcterms:created>
  <dcterms:modified xsi:type="dcterms:W3CDTF">2025-11-10T16:55:28Z</dcterms:modified>
</cp:coreProperties>
</file>